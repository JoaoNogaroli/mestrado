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0583552\Desktop\joao\"/>
    </mc:Choice>
  </mc:AlternateContent>
  <bookViews>
    <workbookView xWindow="0" yWindow="0" windowWidth="20490" windowHeight="7500"/>
  </bookViews>
  <sheets>
    <sheet name="Questao 4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9" i="1" l="1"/>
  <c r="E49" i="1"/>
  <c r="D49" i="1"/>
  <c r="C49" i="1"/>
  <c r="B49" i="1"/>
  <c r="F47" i="1"/>
  <c r="E47" i="1"/>
  <c r="D47" i="1"/>
  <c r="C47" i="1"/>
  <c r="B47" i="1"/>
  <c r="F46" i="1"/>
  <c r="E46" i="1"/>
  <c r="D46" i="1"/>
  <c r="C46" i="1"/>
  <c r="B46" i="1"/>
  <c r="F44" i="1"/>
  <c r="E44" i="1"/>
  <c r="D44" i="1"/>
  <c r="C44" i="1"/>
  <c r="B44" i="1"/>
  <c r="F48" i="1"/>
  <c r="E48" i="1"/>
  <c r="D48" i="1"/>
  <c r="C48" i="1"/>
  <c r="B48" i="1"/>
  <c r="F45" i="1"/>
  <c r="E45" i="1"/>
  <c r="D45" i="1"/>
  <c r="C45" i="1"/>
  <c r="B45" i="1"/>
  <c r="B35" i="1"/>
  <c r="C35" i="1"/>
  <c r="D35" i="1"/>
  <c r="E35" i="1"/>
  <c r="F35" i="1"/>
  <c r="G35" i="1"/>
  <c r="B36" i="1"/>
  <c r="C36" i="1"/>
  <c r="D36" i="1"/>
  <c r="E36" i="1"/>
  <c r="F36" i="1"/>
  <c r="G36" i="1"/>
  <c r="B37" i="1"/>
  <c r="C37" i="1"/>
  <c r="D37" i="1"/>
  <c r="E37" i="1"/>
  <c r="F37" i="1"/>
  <c r="G37" i="1"/>
  <c r="B38" i="1"/>
  <c r="C38" i="1"/>
  <c r="D38" i="1"/>
  <c r="E38" i="1"/>
  <c r="F38" i="1"/>
  <c r="G38" i="1"/>
  <c r="B39" i="1"/>
  <c r="C39" i="1"/>
  <c r="D39" i="1"/>
  <c r="E39" i="1"/>
  <c r="F39" i="1"/>
  <c r="G39" i="1"/>
  <c r="C34" i="1"/>
  <c r="D34" i="1"/>
  <c r="E34" i="1"/>
  <c r="F34" i="1"/>
  <c r="G34" i="1"/>
  <c r="B34" i="1"/>
  <c r="C24" i="1"/>
  <c r="D24" i="1"/>
  <c r="E24" i="1"/>
  <c r="F24" i="1"/>
  <c r="G24" i="1"/>
  <c r="N24" i="1" s="1"/>
  <c r="C25" i="1"/>
  <c r="D25" i="1"/>
  <c r="E25" i="1"/>
  <c r="L24" i="1" s="1"/>
  <c r="F25" i="1"/>
  <c r="G25" i="1"/>
  <c r="C26" i="1"/>
  <c r="D26" i="1"/>
  <c r="E26" i="1"/>
  <c r="F26" i="1"/>
  <c r="G26" i="1"/>
  <c r="C27" i="1"/>
  <c r="J24" i="1" s="1"/>
  <c r="D27" i="1"/>
  <c r="E27" i="1"/>
  <c r="F27" i="1"/>
  <c r="G27" i="1"/>
  <c r="C28" i="1"/>
  <c r="D28" i="1"/>
  <c r="E28" i="1"/>
  <c r="F28" i="1"/>
  <c r="G28" i="1"/>
  <c r="C29" i="1"/>
  <c r="D29" i="1"/>
  <c r="E29" i="1"/>
  <c r="F29" i="1"/>
  <c r="G29" i="1"/>
  <c r="B25" i="1"/>
  <c r="B26" i="1"/>
  <c r="B27" i="1"/>
  <c r="B28" i="1"/>
  <c r="B29" i="1"/>
  <c r="B24" i="1"/>
  <c r="I24" i="1" s="1"/>
  <c r="K24" i="1"/>
  <c r="M24" i="1"/>
  <c r="I15" i="1"/>
  <c r="I16" i="1"/>
  <c r="I17" i="1"/>
  <c r="I18" i="1"/>
  <c r="I19" i="1"/>
  <c r="I14" i="1"/>
  <c r="G15" i="1"/>
  <c r="G16" i="1"/>
  <c r="G17" i="1"/>
  <c r="G18" i="1"/>
  <c r="G19" i="1"/>
  <c r="F15" i="1"/>
  <c r="F16" i="1"/>
  <c r="F17" i="1"/>
  <c r="F18" i="1"/>
  <c r="F19" i="1"/>
  <c r="E15" i="1"/>
  <c r="E16" i="1"/>
  <c r="E17" i="1"/>
  <c r="E18" i="1"/>
  <c r="E19" i="1"/>
  <c r="D15" i="1"/>
  <c r="D16" i="1"/>
  <c r="D17" i="1"/>
  <c r="D18" i="1"/>
  <c r="D19" i="1"/>
  <c r="C15" i="1"/>
  <c r="C16" i="1"/>
  <c r="C17" i="1"/>
  <c r="C18" i="1"/>
  <c r="C19" i="1"/>
  <c r="G14" i="1"/>
  <c r="C14" i="1"/>
  <c r="D14" i="1"/>
  <c r="E14" i="1"/>
  <c r="F14" i="1"/>
  <c r="B15" i="1"/>
  <c r="B16" i="1"/>
  <c r="B17" i="1"/>
  <c r="B18" i="1"/>
  <c r="B19" i="1"/>
  <c r="B14" i="1"/>
  <c r="B10" i="1"/>
</calcChain>
</file>

<file path=xl/sharedStrings.xml><?xml version="1.0" encoding="utf-8"?>
<sst xmlns="http://schemas.openxmlformats.org/spreadsheetml/2006/main" count="94" uniqueCount="40">
  <si>
    <t>Ana</t>
  </si>
  <si>
    <t>Bruno</t>
  </si>
  <si>
    <t>Carlos</t>
  </si>
  <si>
    <t>Diana</t>
  </si>
  <si>
    <t>Eduardo</t>
  </si>
  <si>
    <t>Fernanda</t>
  </si>
  <si>
    <t>arq</t>
  </si>
  <si>
    <t>back</t>
  </si>
  <si>
    <t>front</t>
  </si>
  <si>
    <t>devops</t>
  </si>
  <si>
    <t>qa</t>
  </si>
  <si>
    <t>gestao</t>
  </si>
  <si>
    <t>1 passo</t>
  </si>
  <si>
    <t>diminuir do maior para transformar em Complementação</t>
  </si>
  <si>
    <t xml:space="preserve">Maior = </t>
  </si>
  <si>
    <t>Nova tabela</t>
  </si>
  <si>
    <t xml:space="preserve">2 passo = </t>
  </si>
  <si>
    <t>Diminuir do maior valor pela linha</t>
  </si>
  <si>
    <t>menor valor linha</t>
  </si>
  <si>
    <t>maior valor coluna</t>
  </si>
  <si>
    <t>3 passo = Diminuir do maior valor coluna</t>
  </si>
  <si>
    <t xml:space="preserve">CORTES ZERO = </t>
  </si>
  <si>
    <t xml:space="preserve">Deveria ser = </t>
  </si>
  <si>
    <t>Otimizar de novo</t>
  </si>
  <si>
    <t xml:space="preserve">Menor valor que não foi cobert = </t>
  </si>
  <si>
    <t>Nova tabela Re-otimizada</t>
  </si>
  <si>
    <t>Reduzir o valor não coberto por quem não teve linha</t>
  </si>
  <si>
    <t>aumentar o valor não coberto por quem passou 2 vezes</t>
  </si>
  <si>
    <t>não fazer nada pra quem passou 1 vez</t>
  </si>
  <si>
    <t>Otimizado</t>
  </si>
  <si>
    <t>Numero de cortes = numero de colxlin</t>
  </si>
  <si>
    <t>carlos</t>
  </si>
  <si>
    <t>ana</t>
  </si>
  <si>
    <t>diana</t>
  </si>
  <si>
    <t>fernanda</t>
  </si>
  <si>
    <t xml:space="preserve">bruno </t>
  </si>
  <si>
    <t>eduardo</t>
  </si>
  <si>
    <t>&lt;- Resposta</t>
  </si>
  <si>
    <t xml:space="preserve">Pessoa </t>
  </si>
  <si>
    <t>Função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</si>
</sst>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1" xfId="0" applyBorder="1"/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276225</xdr:colOff>
      <xdr:row>38</xdr:row>
      <xdr:rowOff>114300</xdr:rowOff>
    </xdr:from>
    <xdr:to>
      <xdr:col>6</xdr:col>
      <xdr:colOff>361950</xdr:colOff>
      <xdr:row>38</xdr:row>
      <xdr:rowOff>123825</xdr:rowOff>
    </xdr:to>
    <xdr:cxnSp macro="">
      <xdr:nvCxnSpPr>
        <xdr:cNvPr id="3" name="Conector reto 2"/>
        <xdr:cNvCxnSpPr/>
      </xdr:nvCxnSpPr>
      <xdr:spPr>
        <a:xfrm flipV="1">
          <a:off x="885825" y="7353300"/>
          <a:ext cx="3133725" cy="9525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361950</xdr:colOff>
      <xdr:row>33</xdr:row>
      <xdr:rowOff>19050</xdr:rowOff>
    </xdr:from>
    <xdr:to>
      <xdr:col>6</xdr:col>
      <xdr:colOff>390525</xdr:colOff>
      <xdr:row>38</xdr:row>
      <xdr:rowOff>180975</xdr:rowOff>
    </xdr:to>
    <xdr:cxnSp macro="">
      <xdr:nvCxnSpPr>
        <xdr:cNvPr id="4" name="Conector reto 3"/>
        <xdr:cNvCxnSpPr/>
      </xdr:nvCxnSpPr>
      <xdr:spPr>
        <a:xfrm>
          <a:off x="4019550" y="6305550"/>
          <a:ext cx="28575" cy="1114425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457200</xdr:colOff>
      <xdr:row>35</xdr:row>
      <xdr:rowOff>95250</xdr:rowOff>
    </xdr:from>
    <xdr:to>
      <xdr:col>6</xdr:col>
      <xdr:colOff>342900</xdr:colOff>
      <xdr:row>35</xdr:row>
      <xdr:rowOff>133350</xdr:rowOff>
    </xdr:to>
    <xdr:cxnSp macro="">
      <xdr:nvCxnSpPr>
        <xdr:cNvPr id="8" name="Conector reto 7"/>
        <xdr:cNvCxnSpPr/>
      </xdr:nvCxnSpPr>
      <xdr:spPr>
        <a:xfrm flipV="1">
          <a:off x="1066800" y="6762750"/>
          <a:ext cx="2933700" cy="38100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409575</xdr:colOff>
      <xdr:row>36</xdr:row>
      <xdr:rowOff>66675</xdr:rowOff>
    </xdr:from>
    <xdr:to>
      <xdr:col>6</xdr:col>
      <xdr:colOff>295275</xdr:colOff>
      <xdr:row>36</xdr:row>
      <xdr:rowOff>104775</xdr:rowOff>
    </xdr:to>
    <xdr:cxnSp macro="">
      <xdr:nvCxnSpPr>
        <xdr:cNvPr id="9" name="Conector reto 8"/>
        <xdr:cNvCxnSpPr/>
      </xdr:nvCxnSpPr>
      <xdr:spPr>
        <a:xfrm flipV="1">
          <a:off x="1019175" y="6924675"/>
          <a:ext cx="2933700" cy="38100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476250</xdr:colOff>
      <xdr:row>33</xdr:row>
      <xdr:rowOff>85725</xdr:rowOff>
    </xdr:from>
    <xdr:to>
      <xdr:col>6</xdr:col>
      <xdr:colOff>361950</xdr:colOff>
      <xdr:row>33</xdr:row>
      <xdr:rowOff>123825</xdr:rowOff>
    </xdr:to>
    <xdr:cxnSp macro="">
      <xdr:nvCxnSpPr>
        <xdr:cNvPr id="10" name="Conector reto 9"/>
        <xdr:cNvCxnSpPr/>
      </xdr:nvCxnSpPr>
      <xdr:spPr>
        <a:xfrm flipV="1">
          <a:off x="1085850" y="6372225"/>
          <a:ext cx="2933700" cy="38100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tabSelected="1" topLeftCell="A41" workbookViewId="0">
      <selection activeCell="D59" sqref="D59"/>
    </sheetView>
  </sheetViews>
  <sheetFormatPr defaultRowHeight="15" x14ac:dyDescent="0.25"/>
  <cols>
    <col min="1" max="1" width="10.140625" customWidth="1"/>
    <col min="10" max="10" width="30.85546875" bestFit="1" customWidth="1"/>
  </cols>
  <sheetData>
    <row r="1" spans="1:9" x14ac:dyDescent="0.25"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2" spans="1:9" x14ac:dyDescent="0.25">
      <c r="A2" t="s">
        <v>0</v>
      </c>
      <c r="B2">
        <v>14</v>
      </c>
      <c r="C2">
        <v>9</v>
      </c>
      <c r="D2">
        <v>11</v>
      </c>
      <c r="E2">
        <v>15</v>
      </c>
      <c r="F2">
        <v>13</v>
      </c>
      <c r="G2">
        <v>5</v>
      </c>
    </row>
    <row r="3" spans="1:9" x14ac:dyDescent="0.25">
      <c r="A3" t="s">
        <v>1</v>
      </c>
      <c r="B3">
        <v>10</v>
      </c>
      <c r="C3">
        <v>13</v>
      </c>
      <c r="D3">
        <v>6</v>
      </c>
      <c r="E3">
        <v>12</v>
      </c>
      <c r="F3">
        <v>11</v>
      </c>
      <c r="G3">
        <v>15</v>
      </c>
    </row>
    <row r="4" spans="1:9" x14ac:dyDescent="0.25">
      <c r="A4" t="s">
        <v>2</v>
      </c>
      <c r="B4">
        <v>15</v>
      </c>
      <c r="C4">
        <v>11</v>
      </c>
      <c r="D4">
        <v>13</v>
      </c>
      <c r="E4">
        <v>7</v>
      </c>
      <c r="F4">
        <v>14</v>
      </c>
      <c r="G4">
        <v>9</v>
      </c>
    </row>
    <row r="5" spans="1:9" x14ac:dyDescent="0.25">
      <c r="A5" t="s">
        <v>3</v>
      </c>
      <c r="B5">
        <v>8</v>
      </c>
      <c r="C5">
        <v>12</v>
      </c>
      <c r="D5">
        <v>15</v>
      </c>
      <c r="E5">
        <v>10</v>
      </c>
      <c r="F5">
        <v>5</v>
      </c>
      <c r="G5">
        <v>13</v>
      </c>
    </row>
    <row r="6" spans="1:9" x14ac:dyDescent="0.25">
      <c r="A6" t="s">
        <v>4</v>
      </c>
      <c r="B6">
        <v>12</v>
      </c>
      <c r="C6">
        <v>5</v>
      </c>
      <c r="D6">
        <v>9</v>
      </c>
      <c r="E6">
        <v>14</v>
      </c>
      <c r="F6">
        <v>8</v>
      </c>
      <c r="G6">
        <v>16</v>
      </c>
    </row>
    <row r="7" spans="1:9" x14ac:dyDescent="0.25">
      <c r="A7" t="s">
        <v>5</v>
      </c>
      <c r="B7">
        <v>9</v>
      </c>
      <c r="C7">
        <v>14</v>
      </c>
      <c r="D7">
        <v>11</v>
      </c>
      <c r="E7">
        <v>13</v>
      </c>
      <c r="F7">
        <v>15</v>
      </c>
      <c r="G7">
        <v>10</v>
      </c>
    </row>
    <row r="9" spans="1:9" x14ac:dyDescent="0.25">
      <c r="A9" t="s">
        <v>12</v>
      </c>
      <c r="B9" t="s">
        <v>13</v>
      </c>
    </row>
    <row r="10" spans="1:9" x14ac:dyDescent="0.25">
      <c r="A10" t="s">
        <v>14</v>
      </c>
      <c r="B10">
        <f>LARGE(B2:G7,1)</f>
        <v>16</v>
      </c>
    </row>
    <row r="12" spans="1:9" x14ac:dyDescent="0.25">
      <c r="A12" t="s">
        <v>15</v>
      </c>
      <c r="I12" t="s">
        <v>18</v>
      </c>
    </row>
    <row r="13" spans="1:9" x14ac:dyDescent="0.25">
      <c r="B13" t="s">
        <v>6</v>
      </c>
      <c r="C13" t="s">
        <v>7</v>
      </c>
      <c r="D13" t="s">
        <v>8</v>
      </c>
      <c r="E13" t="s">
        <v>9</v>
      </c>
      <c r="F13" t="s">
        <v>10</v>
      </c>
      <c r="G13" t="s">
        <v>11</v>
      </c>
    </row>
    <row r="14" spans="1:9" x14ac:dyDescent="0.25">
      <c r="A14" t="s">
        <v>0</v>
      </c>
      <c r="B14">
        <f>$B$10-B2</f>
        <v>2</v>
      </c>
      <c r="C14">
        <f t="shared" ref="C14:F14" si="0">$B$10-C2</f>
        <v>7</v>
      </c>
      <c r="D14">
        <f t="shared" si="0"/>
        <v>5</v>
      </c>
      <c r="E14">
        <f t="shared" si="0"/>
        <v>1</v>
      </c>
      <c r="F14">
        <f t="shared" si="0"/>
        <v>3</v>
      </c>
      <c r="G14">
        <f>$B$10-G2</f>
        <v>11</v>
      </c>
      <c r="I14">
        <f>SMALL(B14:G14,1)</f>
        <v>1</v>
      </c>
    </row>
    <row r="15" spans="1:9" x14ac:dyDescent="0.25">
      <c r="A15" t="s">
        <v>1</v>
      </c>
      <c r="B15">
        <f t="shared" ref="B15:G20" si="1">$B$10-B3</f>
        <v>6</v>
      </c>
      <c r="C15">
        <f t="shared" si="1"/>
        <v>3</v>
      </c>
      <c r="D15">
        <f t="shared" si="1"/>
        <v>10</v>
      </c>
      <c r="E15">
        <f t="shared" si="1"/>
        <v>4</v>
      </c>
      <c r="F15">
        <f t="shared" si="1"/>
        <v>5</v>
      </c>
      <c r="G15">
        <f t="shared" si="1"/>
        <v>1</v>
      </c>
      <c r="I15">
        <f t="shared" ref="I15:I19" si="2">SMALL(B15:G15,1)</f>
        <v>1</v>
      </c>
    </row>
    <row r="16" spans="1:9" x14ac:dyDescent="0.25">
      <c r="A16" t="s">
        <v>2</v>
      </c>
      <c r="B16">
        <f t="shared" si="1"/>
        <v>1</v>
      </c>
      <c r="C16">
        <f t="shared" si="1"/>
        <v>5</v>
      </c>
      <c r="D16">
        <f t="shared" si="1"/>
        <v>3</v>
      </c>
      <c r="E16">
        <f t="shared" si="1"/>
        <v>9</v>
      </c>
      <c r="F16">
        <f t="shared" si="1"/>
        <v>2</v>
      </c>
      <c r="G16">
        <f t="shared" si="1"/>
        <v>7</v>
      </c>
      <c r="I16">
        <f t="shared" si="2"/>
        <v>1</v>
      </c>
    </row>
    <row r="17" spans="1:14" x14ac:dyDescent="0.25">
      <c r="A17" t="s">
        <v>3</v>
      </c>
      <c r="B17">
        <f t="shared" si="1"/>
        <v>8</v>
      </c>
      <c r="C17">
        <f t="shared" si="1"/>
        <v>4</v>
      </c>
      <c r="D17">
        <f t="shared" si="1"/>
        <v>1</v>
      </c>
      <c r="E17">
        <f t="shared" si="1"/>
        <v>6</v>
      </c>
      <c r="F17">
        <f t="shared" si="1"/>
        <v>11</v>
      </c>
      <c r="G17">
        <f t="shared" si="1"/>
        <v>3</v>
      </c>
      <c r="I17">
        <f t="shared" si="2"/>
        <v>1</v>
      </c>
    </row>
    <row r="18" spans="1:14" x14ac:dyDescent="0.25">
      <c r="A18" t="s">
        <v>4</v>
      </c>
      <c r="B18">
        <f t="shared" si="1"/>
        <v>4</v>
      </c>
      <c r="C18">
        <f t="shared" si="1"/>
        <v>11</v>
      </c>
      <c r="D18">
        <f t="shared" si="1"/>
        <v>7</v>
      </c>
      <c r="E18">
        <f t="shared" si="1"/>
        <v>2</v>
      </c>
      <c r="F18">
        <f t="shared" si="1"/>
        <v>8</v>
      </c>
      <c r="G18">
        <f t="shared" si="1"/>
        <v>0</v>
      </c>
      <c r="I18">
        <f t="shared" si="2"/>
        <v>0</v>
      </c>
    </row>
    <row r="19" spans="1:14" x14ac:dyDescent="0.25">
      <c r="A19" t="s">
        <v>5</v>
      </c>
      <c r="B19">
        <f t="shared" si="1"/>
        <v>7</v>
      </c>
      <c r="C19">
        <f t="shared" si="1"/>
        <v>2</v>
      </c>
      <c r="D19">
        <f t="shared" si="1"/>
        <v>5</v>
      </c>
      <c r="E19">
        <f t="shared" si="1"/>
        <v>3</v>
      </c>
      <c r="F19">
        <f t="shared" si="1"/>
        <v>1</v>
      </c>
      <c r="G19">
        <f t="shared" si="1"/>
        <v>6</v>
      </c>
      <c r="I19">
        <f t="shared" si="2"/>
        <v>1</v>
      </c>
    </row>
    <row r="21" spans="1:14" x14ac:dyDescent="0.25">
      <c r="A21" t="s">
        <v>16</v>
      </c>
      <c r="B21" t="s">
        <v>17</v>
      </c>
    </row>
    <row r="23" spans="1:14" x14ac:dyDescent="0.25">
      <c r="B23" t="s">
        <v>6</v>
      </c>
      <c r="C23" t="s">
        <v>7</v>
      </c>
      <c r="D23" t="s">
        <v>8</v>
      </c>
      <c r="E23" t="s">
        <v>9</v>
      </c>
      <c r="F23" t="s">
        <v>10</v>
      </c>
      <c r="G23" t="s">
        <v>11</v>
      </c>
      <c r="I23" t="s">
        <v>19</v>
      </c>
    </row>
    <row r="24" spans="1:14" x14ac:dyDescent="0.25">
      <c r="A24" t="s">
        <v>0</v>
      </c>
      <c r="B24">
        <f>B14-$I14</f>
        <v>1</v>
      </c>
      <c r="C24">
        <f t="shared" ref="C24:G24" si="3">C14-$I14</f>
        <v>6</v>
      </c>
      <c r="D24">
        <f t="shared" si="3"/>
        <v>4</v>
      </c>
      <c r="E24">
        <f t="shared" si="3"/>
        <v>0</v>
      </c>
      <c r="F24">
        <f t="shared" si="3"/>
        <v>2</v>
      </c>
      <c r="G24">
        <f t="shared" si="3"/>
        <v>10</v>
      </c>
      <c r="I24">
        <f>SMALL(B24:B29,1)</f>
        <v>0</v>
      </c>
      <c r="J24">
        <f t="shared" ref="J24:N24" si="4">SMALL(C24:C29,1)</f>
        <v>1</v>
      </c>
      <c r="K24">
        <f t="shared" si="4"/>
        <v>0</v>
      </c>
      <c r="L24">
        <f t="shared" si="4"/>
        <v>0</v>
      </c>
      <c r="M24">
        <f t="shared" si="4"/>
        <v>0</v>
      </c>
      <c r="N24">
        <f t="shared" si="4"/>
        <v>0</v>
      </c>
    </row>
    <row r="25" spans="1:14" x14ac:dyDescent="0.25">
      <c r="A25" t="s">
        <v>1</v>
      </c>
      <c r="B25">
        <f t="shared" ref="B25:G29" si="5">B15-$I15</f>
        <v>5</v>
      </c>
      <c r="C25">
        <f t="shared" si="5"/>
        <v>2</v>
      </c>
      <c r="D25">
        <f t="shared" si="5"/>
        <v>9</v>
      </c>
      <c r="E25">
        <f t="shared" si="5"/>
        <v>3</v>
      </c>
      <c r="F25">
        <f t="shared" si="5"/>
        <v>4</v>
      </c>
      <c r="G25">
        <f t="shared" si="5"/>
        <v>0</v>
      </c>
    </row>
    <row r="26" spans="1:14" x14ac:dyDescent="0.25">
      <c r="A26" t="s">
        <v>2</v>
      </c>
      <c r="B26">
        <f t="shared" si="5"/>
        <v>0</v>
      </c>
      <c r="C26">
        <f t="shared" si="5"/>
        <v>4</v>
      </c>
      <c r="D26">
        <f t="shared" si="5"/>
        <v>2</v>
      </c>
      <c r="E26">
        <f t="shared" si="5"/>
        <v>8</v>
      </c>
      <c r="F26">
        <f t="shared" si="5"/>
        <v>1</v>
      </c>
      <c r="G26">
        <f t="shared" si="5"/>
        <v>6</v>
      </c>
    </row>
    <row r="27" spans="1:14" x14ac:dyDescent="0.25">
      <c r="A27" t="s">
        <v>3</v>
      </c>
      <c r="B27">
        <f t="shared" si="5"/>
        <v>7</v>
      </c>
      <c r="C27">
        <f t="shared" si="5"/>
        <v>3</v>
      </c>
      <c r="D27">
        <f t="shared" si="5"/>
        <v>0</v>
      </c>
      <c r="E27">
        <f t="shared" si="5"/>
        <v>5</v>
      </c>
      <c r="F27">
        <f t="shared" si="5"/>
        <v>10</v>
      </c>
      <c r="G27">
        <f t="shared" si="5"/>
        <v>2</v>
      </c>
    </row>
    <row r="28" spans="1:14" x14ac:dyDescent="0.25">
      <c r="A28" t="s">
        <v>4</v>
      </c>
      <c r="B28">
        <f t="shared" si="5"/>
        <v>4</v>
      </c>
      <c r="C28">
        <f t="shared" si="5"/>
        <v>11</v>
      </c>
      <c r="D28">
        <f t="shared" si="5"/>
        <v>7</v>
      </c>
      <c r="E28">
        <f t="shared" si="5"/>
        <v>2</v>
      </c>
      <c r="F28">
        <f t="shared" si="5"/>
        <v>8</v>
      </c>
      <c r="G28">
        <f t="shared" si="5"/>
        <v>0</v>
      </c>
    </row>
    <row r="29" spans="1:14" x14ac:dyDescent="0.25">
      <c r="A29" t="s">
        <v>5</v>
      </c>
      <c r="B29">
        <f t="shared" si="5"/>
        <v>6</v>
      </c>
      <c r="C29">
        <f t="shared" si="5"/>
        <v>1</v>
      </c>
      <c r="D29">
        <f t="shared" si="5"/>
        <v>4</v>
      </c>
      <c r="E29">
        <f t="shared" si="5"/>
        <v>2</v>
      </c>
      <c r="F29">
        <f t="shared" si="5"/>
        <v>0</v>
      </c>
      <c r="G29">
        <f t="shared" si="5"/>
        <v>5</v>
      </c>
    </row>
    <row r="31" spans="1:14" x14ac:dyDescent="0.25">
      <c r="A31" t="s">
        <v>20</v>
      </c>
    </row>
    <row r="33" spans="1:14" x14ac:dyDescent="0.25">
      <c r="B33" t="s">
        <v>6</v>
      </c>
      <c r="C33" t="s">
        <v>7</v>
      </c>
      <c r="D33" t="s">
        <v>8</v>
      </c>
      <c r="E33" t="s">
        <v>9</v>
      </c>
      <c r="F33" t="s">
        <v>10</v>
      </c>
      <c r="G33" t="s">
        <v>11</v>
      </c>
      <c r="J33" t="s">
        <v>21</v>
      </c>
      <c r="L33">
        <v>5</v>
      </c>
    </row>
    <row r="34" spans="1:14" x14ac:dyDescent="0.25">
      <c r="A34" t="s">
        <v>0</v>
      </c>
      <c r="B34">
        <f>B24-I$24</f>
        <v>1</v>
      </c>
      <c r="C34">
        <f t="shared" ref="C34:G34" si="6">C24-J$24</f>
        <v>5</v>
      </c>
      <c r="D34">
        <f t="shared" si="6"/>
        <v>4</v>
      </c>
      <c r="E34">
        <f t="shared" si="6"/>
        <v>0</v>
      </c>
      <c r="F34">
        <f t="shared" si="6"/>
        <v>2</v>
      </c>
      <c r="G34">
        <f t="shared" si="6"/>
        <v>10</v>
      </c>
      <c r="J34" t="s">
        <v>22</v>
      </c>
      <c r="L34">
        <v>6</v>
      </c>
    </row>
    <row r="35" spans="1:14" x14ac:dyDescent="0.25">
      <c r="A35" t="s">
        <v>1</v>
      </c>
      <c r="B35">
        <f t="shared" ref="B35:B39" si="7">B25-I$24</f>
        <v>5</v>
      </c>
      <c r="C35">
        <f t="shared" ref="C35:C39" si="8">C25-J$24</f>
        <v>1</v>
      </c>
      <c r="D35">
        <f t="shared" ref="D35:D39" si="9">D25-K$24</f>
        <v>9</v>
      </c>
      <c r="E35">
        <f t="shared" ref="E35:E39" si="10">E25-L$24</f>
        <v>3</v>
      </c>
      <c r="F35">
        <f t="shared" ref="F35:F39" si="11">F25-M$24</f>
        <v>4</v>
      </c>
      <c r="G35">
        <f t="shared" ref="G35:G39" si="12">G25-N$24</f>
        <v>0</v>
      </c>
      <c r="J35" t="s">
        <v>23</v>
      </c>
    </row>
    <row r="36" spans="1:14" x14ac:dyDescent="0.25">
      <c r="A36" t="s">
        <v>2</v>
      </c>
      <c r="B36">
        <f t="shared" si="7"/>
        <v>0</v>
      </c>
      <c r="C36">
        <f t="shared" si="8"/>
        <v>3</v>
      </c>
      <c r="D36">
        <f t="shared" si="9"/>
        <v>2</v>
      </c>
      <c r="E36">
        <f t="shared" si="10"/>
        <v>8</v>
      </c>
      <c r="F36">
        <f t="shared" si="11"/>
        <v>1</v>
      </c>
      <c r="G36">
        <f t="shared" si="12"/>
        <v>6</v>
      </c>
    </row>
    <row r="37" spans="1:14" x14ac:dyDescent="0.25">
      <c r="A37" t="s">
        <v>3</v>
      </c>
      <c r="B37">
        <f t="shared" si="7"/>
        <v>7</v>
      </c>
      <c r="C37">
        <f t="shared" si="8"/>
        <v>2</v>
      </c>
      <c r="D37">
        <f t="shared" si="9"/>
        <v>0</v>
      </c>
      <c r="E37">
        <f t="shared" si="10"/>
        <v>5</v>
      </c>
      <c r="F37">
        <f t="shared" si="11"/>
        <v>10</v>
      </c>
      <c r="G37">
        <f t="shared" si="12"/>
        <v>2</v>
      </c>
      <c r="J37" t="s">
        <v>24</v>
      </c>
      <c r="N37">
        <v>1</v>
      </c>
    </row>
    <row r="38" spans="1:14" x14ac:dyDescent="0.25">
      <c r="A38" t="s">
        <v>4</v>
      </c>
      <c r="B38">
        <f t="shared" si="7"/>
        <v>4</v>
      </c>
      <c r="C38">
        <f t="shared" si="8"/>
        <v>10</v>
      </c>
      <c r="D38">
        <f t="shared" si="9"/>
        <v>7</v>
      </c>
      <c r="E38">
        <f t="shared" si="10"/>
        <v>2</v>
      </c>
      <c r="F38">
        <f t="shared" si="11"/>
        <v>8</v>
      </c>
      <c r="G38">
        <f t="shared" si="12"/>
        <v>0</v>
      </c>
    </row>
    <row r="39" spans="1:14" x14ac:dyDescent="0.25">
      <c r="A39" t="s">
        <v>5</v>
      </c>
      <c r="B39">
        <f t="shared" si="7"/>
        <v>6</v>
      </c>
      <c r="C39">
        <f t="shared" si="8"/>
        <v>0</v>
      </c>
      <c r="D39">
        <f t="shared" si="9"/>
        <v>4</v>
      </c>
      <c r="E39">
        <f t="shared" si="10"/>
        <v>2</v>
      </c>
      <c r="F39">
        <f t="shared" si="11"/>
        <v>0</v>
      </c>
      <c r="G39">
        <f t="shared" si="12"/>
        <v>5</v>
      </c>
    </row>
    <row r="41" spans="1:14" x14ac:dyDescent="0.25">
      <c r="A41" t="s">
        <v>25</v>
      </c>
    </row>
    <row r="42" spans="1:14" x14ac:dyDescent="0.25">
      <c r="J42" t="s">
        <v>26</v>
      </c>
    </row>
    <row r="43" spans="1:14" x14ac:dyDescent="0.25">
      <c r="B43" t="s">
        <v>6</v>
      </c>
      <c r="C43" t="s">
        <v>7</v>
      </c>
      <c r="D43" t="s">
        <v>8</v>
      </c>
      <c r="E43" t="s">
        <v>9</v>
      </c>
      <c r="F43" t="s">
        <v>10</v>
      </c>
      <c r="G43" t="s">
        <v>11</v>
      </c>
      <c r="J43" t="s">
        <v>27</v>
      </c>
    </row>
    <row r="44" spans="1:14" x14ac:dyDescent="0.25">
      <c r="A44" t="s">
        <v>0</v>
      </c>
      <c r="B44">
        <f>B34-I$24</f>
        <v>1</v>
      </c>
      <c r="C44">
        <f t="shared" ref="C44" si="13">C34-J$24</f>
        <v>4</v>
      </c>
      <c r="D44">
        <f t="shared" ref="D44" si="14">D34-K$24</f>
        <v>4</v>
      </c>
      <c r="E44">
        <f t="shared" ref="E44" si="15">E34-L$24</f>
        <v>0</v>
      </c>
      <c r="F44">
        <f t="shared" ref="F44" si="16">F34-M$24</f>
        <v>2</v>
      </c>
      <c r="G44">
        <v>11</v>
      </c>
      <c r="J44" t="s">
        <v>28</v>
      </c>
    </row>
    <row r="45" spans="1:14" x14ac:dyDescent="0.25">
      <c r="A45" t="s">
        <v>1</v>
      </c>
      <c r="B45">
        <f>B35-$N$37</f>
        <v>4</v>
      </c>
      <c r="C45">
        <f t="shared" ref="C45:F45" si="17">C35-$N$37</f>
        <v>0</v>
      </c>
      <c r="D45">
        <f t="shared" si="17"/>
        <v>8</v>
      </c>
      <c r="E45">
        <f t="shared" si="17"/>
        <v>2</v>
      </c>
      <c r="F45">
        <f t="shared" si="17"/>
        <v>3</v>
      </c>
      <c r="G45">
        <v>0</v>
      </c>
    </row>
    <row r="46" spans="1:14" x14ac:dyDescent="0.25">
      <c r="A46" t="s">
        <v>2</v>
      </c>
      <c r="B46">
        <f t="shared" ref="B46:B47" si="18">B36-I$24</f>
        <v>0</v>
      </c>
      <c r="C46">
        <f t="shared" ref="C46:C47" si="19">C36-J$24</f>
        <v>2</v>
      </c>
      <c r="D46">
        <f t="shared" ref="D46:D47" si="20">D36-K$24</f>
        <v>2</v>
      </c>
      <c r="E46">
        <f t="shared" ref="E46:E47" si="21">E36-L$24</f>
        <v>8</v>
      </c>
      <c r="F46">
        <f t="shared" ref="F46:F47" si="22">F36-M$24</f>
        <v>1</v>
      </c>
      <c r="G46">
        <v>7</v>
      </c>
    </row>
    <row r="47" spans="1:14" x14ac:dyDescent="0.25">
      <c r="A47" t="s">
        <v>3</v>
      </c>
      <c r="B47">
        <f t="shared" si="18"/>
        <v>7</v>
      </c>
      <c r="C47">
        <f t="shared" si="19"/>
        <v>1</v>
      </c>
      <c r="D47">
        <f t="shared" si="20"/>
        <v>0</v>
      </c>
      <c r="E47">
        <f t="shared" si="21"/>
        <v>5</v>
      </c>
      <c r="F47">
        <f t="shared" si="22"/>
        <v>10</v>
      </c>
      <c r="G47">
        <v>3</v>
      </c>
    </row>
    <row r="48" spans="1:14" x14ac:dyDescent="0.25">
      <c r="A48" t="s">
        <v>4</v>
      </c>
      <c r="B48">
        <f t="shared" ref="B48:F48" si="23">B38-$N$37</f>
        <v>3</v>
      </c>
      <c r="C48">
        <f t="shared" si="23"/>
        <v>9</v>
      </c>
      <c r="D48">
        <f t="shared" si="23"/>
        <v>6</v>
      </c>
      <c r="E48">
        <f t="shared" si="23"/>
        <v>1</v>
      </c>
      <c r="F48">
        <f t="shared" si="23"/>
        <v>7</v>
      </c>
      <c r="G48">
        <v>0</v>
      </c>
    </row>
    <row r="49" spans="1:7" x14ac:dyDescent="0.25">
      <c r="A49" t="s">
        <v>5</v>
      </c>
      <c r="B49">
        <f>B39</f>
        <v>6</v>
      </c>
      <c r="C49">
        <f t="shared" ref="C49:F49" si="24">C39</f>
        <v>0</v>
      </c>
      <c r="D49">
        <f t="shared" si="24"/>
        <v>4</v>
      </c>
      <c r="E49">
        <f t="shared" si="24"/>
        <v>2</v>
      </c>
      <c r="F49">
        <f t="shared" si="24"/>
        <v>0</v>
      </c>
      <c r="G49">
        <v>6</v>
      </c>
    </row>
    <row r="51" spans="1:7" x14ac:dyDescent="0.25">
      <c r="A51" s="1" t="s">
        <v>29</v>
      </c>
      <c r="B51" t="s">
        <v>30</v>
      </c>
    </row>
    <row r="53" spans="1:7" x14ac:dyDescent="0.25">
      <c r="A53" s="3" t="s">
        <v>38</v>
      </c>
      <c r="B53" s="3" t="s">
        <v>39</v>
      </c>
    </row>
    <row r="54" spans="1:7" x14ac:dyDescent="0.25">
      <c r="A54" s="2" t="s">
        <v>31</v>
      </c>
      <c r="B54" s="2" t="s">
        <v>6</v>
      </c>
    </row>
    <row r="55" spans="1:7" x14ac:dyDescent="0.25">
      <c r="A55" s="2" t="s">
        <v>33</v>
      </c>
      <c r="B55" s="2" t="s">
        <v>8</v>
      </c>
    </row>
    <row r="56" spans="1:7" x14ac:dyDescent="0.25">
      <c r="A56" s="2" t="s">
        <v>32</v>
      </c>
      <c r="B56" s="2" t="s">
        <v>9</v>
      </c>
      <c r="D56" t="s">
        <v>37</v>
      </c>
    </row>
    <row r="57" spans="1:7" x14ac:dyDescent="0.25">
      <c r="A57" s="2" t="s">
        <v>34</v>
      </c>
      <c r="B57" s="2" t="s">
        <v>10</v>
      </c>
    </row>
    <row r="58" spans="1:7" x14ac:dyDescent="0.25">
      <c r="A58" s="2" t="s">
        <v>35</v>
      </c>
      <c r="B58" s="2" t="s">
        <v>7</v>
      </c>
    </row>
    <row r="59" spans="1:7" x14ac:dyDescent="0.25">
      <c r="A59" s="2" t="s">
        <v>36</v>
      </c>
      <c r="B59" s="2" t="s">
        <v>11</v>
      </c>
    </row>
  </sheetData>
  <conditionalFormatting sqref="B34:G39">
    <cfRule type="cellIs" dxfId="2" priority="4" operator="equal">
      <formula>0</formula>
    </cfRule>
  </conditionalFormatting>
  <conditionalFormatting sqref="B46:F47">
    <cfRule type="cellIs" dxfId="1" priority="2" operator="equal">
      <formula>0</formula>
    </cfRule>
  </conditionalFormatting>
  <conditionalFormatting sqref="B44:G49">
    <cfRule type="cellIs" dxfId="0" priority="1" operator="equal">
      <formula>0</formula>
    </cfRule>
  </conditionalFormatting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Questao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Victhor Nogaroli</dc:creator>
  <cp:lastModifiedBy>João Victhor Nogaroli</cp:lastModifiedBy>
  <dcterms:created xsi:type="dcterms:W3CDTF">2026-05-14T11:52:14Z</dcterms:created>
  <dcterms:modified xsi:type="dcterms:W3CDTF">2026-05-14T12:58:59Z</dcterms:modified>
</cp:coreProperties>
</file>